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ai\Capstone Project\Part2\Outputs\"/>
    </mc:Choice>
  </mc:AlternateContent>
  <xr:revisionPtr revIDLastSave="0" documentId="13_ncr:1_{B0D81342-1EED-4AC7-A38E-4BB0D0F34AEA}" xr6:coauthVersionLast="47" xr6:coauthVersionMax="47" xr10:uidLastSave="{00000000-0000-0000-0000-000000000000}"/>
  <bookViews>
    <workbookView xWindow="-108" yWindow="-108" windowWidth="23256" windowHeight="12456" activeTab="2" xr2:uid="{EF3DC45C-6AF4-494F-A7DB-54B8C042EA62}"/>
  </bookViews>
  <sheets>
    <sheet name="Control vs Treatment" sheetId="1" r:id="rId1"/>
    <sheet name="Paid Conversion Rate" sheetId="2" r:id="rId2"/>
    <sheet name="Hypothesis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11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<sst xmlns="http://schemas.openxmlformats.org/spreadsheetml/2006/main" count="63" uniqueCount="48">
  <si>
    <t>Metric</t>
  </si>
  <si>
    <t>Control</t>
  </si>
  <si>
    <t>Treatment</t>
  </si>
  <si>
    <t>Difference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</si>
  <si>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</si>
  <si>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</si>
  <si>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</si>
  <si>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</si>
  <si>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</si>
  <si>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</si>
  <si>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Avg Revenue per Converted User</t>
  </si>
  <si>
    <t>Refund Rate</t>
  </si>
  <si>
    <t>Support Ticket Rate</t>
  </si>
  <si>
    <t>Avg Engagement Score</t>
  </si>
  <si>
    <t>Avg Days to Convert</t>
  </si>
  <si>
    <t>By Region</t>
  </si>
  <si>
    <t>Segment</t>
  </si>
  <si>
    <t>Control Rate</t>
  </si>
  <si>
    <t>Treatment Rate</t>
  </si>
  <si>
    <t>East</t>
  </si>
  <si>
    <t>North</t>
  </si>
  <si>
    <t>South</t>
  </si>
  <si>
    <t>West</t>
  </si>
  <si>
    <t>By Device Type</t>
  </si>
  <si>
    <t>Desktop</t>
  </si>
  <si>
    <t>Mobile</t>
  </si>
  <si>
    <t>Tablet</t>
  </si>
  <si>
    <t>By Traffic Source</t>
  </si>
  <si>
    <t>Email</t>
  </si>
  <si>
    <t>Organic</t>
  </si>
  <si>
    <t>Paid Search</t>
  </si>
  <si>
    <t>Referral</t>
  </si>
  <si>
    <t>Social</t>
  </si>
  <si>
    <t>By Plan Type</t>
  </si>
  <si>
    <t>Basic</t>
  </si>
  <si>
    <t>Free</t>
  </si>
  <si>
    <t>Premium</t>
  </si>
  <si>
    <t>Z-Test: Paid Conversion Rate</t>
  </si>
  <si>
    <t>Control Users</t>
  </si>
  <si>
    <t>Treatment Users</t>
  </si>
  <si>
    <t>Control Conversions</t>
  </si>
  <si>
    <t>Treatment Conversions</t>
  </si>
  <si>
    <t>Pooled Proportion</t>
  </si>
  <si>
    <t>Standard Error</t>
  </si>
  <si>
    <t>Z-Statistic</t>
  </si>
  <si>
    <t>P-Value (one-tailed)</t>
  </si>
  <si>
    <t>Significance Level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</si>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</sst>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380E-960F-42EB-9B0D-359DB8089E9A}">
  <dimension ref="A1:D12"/>
  <sheetViews>
    <sheetView workbookViewId="0">
      <selection activeCell="F18" sqref="F18"/>
    </sheetView>
  </sheetViews>
  <sheetFormatPr defaultRowHeight="14.4"/>
  <cols>
    <col min="1" max="1" width="19.88671875" bestFit="1" customWidth="1"/>
    <col min="3" max="4" width="9.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690</v>
      </c>
      <c r="C2">
        <v>710</v>
      </c>
      <c r="D2">
        <v>20</v>
      </c>
    </row>
    <row r="3" spans="1:4">
      <c r="A3" t="s">
        <v>5</v>
      </c>
      <c r="B3" s="1">
        <v>0.63619999999999999</v>
      </c>
      <c r="C3" s="1">
        <v>0.72389999999999999</v>
      </c>
      <c r="D3" s="1">
        <v>8.77E-2</v>
      </c>
    </row>
    <row r="4" spans="1:4">
      <c r="A4" t="s">
        <v>6</v>
      </c>
      <c r="B4" s="1">
        <v>0.25069999999999998</v>
      </c>
      <c r="C4" s="1">
        <v>0.29010000000000002</v>
      </c>
      <c r="D4" s="1">
        <v>3.9399999999999998E-2</v>
      </c>
    </row>
    <row r="5" spans="1:4">
      <c r="A5" t="s">
        <v>7</v>
      </c>
      <c r="B5" s="1">
        <v>0.1565</v>
      </c>
      <c r="C5" s="1">
        <v>0.21129999999999999</v>
      </c>
      <c r="D5" s="1">
        <v>5.4699999999999999E-2</v>
      </c>
    </row>
    <row r="6" spans="1:4">
      <c r="A6" t="s">
        <v>8</v>
      </c>
      <c r="B6" s="1">
        <v>3.1899999999999998E-2</v>
      </c>
      <c r="C6" s="1">
        <v>7.0400000000000004E-2</v>
      </c>
      <c r="D6" s="1">
        <v>3.85E-2</v>
      </c>
    </row>
    <row r="7" spans="1:4">
      <c r="A7" t="s">
        <v>9</v>
      </c>
      <c r="B7">
        <v>51.97</v>
      </c>
      <c r="C7">
        <v>54.25</v>
      </c>
      <c r="D7">
        <v>2.2799999999999998</v>
      </c>
    </row>
    <row r="8" spans="1:4">
      <c r="A8" t="s">
        <v>10</v>
      </c>
      <c r="B8">
        <v>1630.1</v>
      </c>
      <c r="C8">
        <v>770.41</v>
      </c>
      <c r="D8">
        <v>-859.69</v>
      </c>
    </row>
    <row r="9" spans="1:4">
      <c r="A9" t="s">
        <v>11</v>
      </c>
      <c r="B9" s="1">
        <v>0</v>
      </c>
      <c r="C9" s="1">
        <v>4.1999999999999997E-3</v>
      </c>
      <c r="D9" s="1">
        <v>4.1999999999999997E-3</v>
      </c>
    </row>
    <row r="10" spans="1:4">
      <c r="A10" t="s">
        <v>12</v>
      </c>
      <c r="B10" s="1">
        <v>0.2203</v>
      </c>
      <c r="C10" s="1">
        <v>0.37319999999999998</v>
      </c>
      <c r="D10" s="1">
        <v>0.15290000000000001</v>
      </c>
    </row>
    <row r="11" spans="1:4">
      <c r="A11" t="s">
        <v>13</v>
      </c>
      <c r="B11">
        <v>57.03</v>
      </c>
      <c r="C11">
        <v>62.94</v>
      </c>
      <c r="D11">
        <v>5.91</v>
      </c>
    </row>
    <row r="12" spans="1:4">
      <c r="A12" t="s">
        <v>14</v>
      </c>
      <c r="B12">
        <v>8.86</v>
      </c>
      <c r="C12">
        <v>6.4</v>
      </c>
      <c r="D12">
        <v>-2.46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3A91-112C-4123-9AE6-529DBE87574E}">
  <dimension ref="A1:D26"/>
  <sheetViews>
    <sheetView topLeftCell="A4" workbookViewId="0">
      <selection activeCell="I18" sqref="I18"/>
    </sheetView>
  </sheetViews>
  <sheetFormatPr defaultRowHeight="14.4"/>
  <cols>
    <col min="1" max="1" width="14.88671875" bestFit="1" customWidth="1"/>
    <col min="2" max="2" width="11.33203125" bestFit="1" customWidth="1"/>
    <col min="3" max="3" width="13.88671875" bestFit="1" customWidth="1"/>
    <col min="4" max="4" width="9.5546875" bestFit="1" customWidth="1"/>
    <col min="5" max="5" width="8.88671875" customWidth="1"/>
  </cols>
  <sheetData>
    <row r="1" spans="1:4">
      <c r="A1" t="s">
        <v>15</v>
      </c>
    </row>
    <row r="2" spans="1:4">
      <c r="A2" t="s">
        <v>16</v>
      </c>
      <c r="B2" t="s">
        <v>17</v>
      </c>
      <c r="C2" t="s">
        <v>18</v>
      </c>
      <c r="D2" t="s">
        <v>3</v>
      </c>
    </row>
    <row r="3" spans="1:4">
      <c r="A3" t="s">
        <v>19</v>
      </c>
      <c r="B3" s="1">
        <v>2.5499999999999998E-2</v>
      </c>
      <c r="C3" s="1">
        <v>6.4699999999999994E-2</v>
      </c>
      <c r="D3" s="1">
        <v>3.9199999999999999E-2</v>
      </c>
    </row>
    <row r="4" spans="1:4">
      <c r="A4" t="s">
        <v>20</v>
      </c>
      <c r="B4" s="1">
        <v>3.4799999999999998E-2</v>
      </c>
      <c r="C4" s="1">
        <v>8.8900000000000007E-2</v>
      </c>
      <c r="D4" s="1">
        <v>5.4100000000000002E-2</v>
      </c>
    </row>
    <row r="5" spans="1:4">
      <c r="A5" t="s">
        <v>21</v>
      </c>
      <c r="B5" s="1">
        <v>3.2599999999999997E-2</v>
      </c>
      <c r="C5" s="1">
        <v>7.6499999999999999E-2</v>
      </c>
      <c r="D5" s="1">
        <v>4.3900000000000002E-2</v>
      </c>
    </row>
    <row r="6" spans="1:4">
      <c r="A6" t="s">
        <v>22</v>
      </c>
      <c r="B6" s="1">
        <v>3.3799999999999997E-2</v>
      </c>
      <c r="C6" s="1">
        <v>5.0799999999999998E-2</v>
      </c>
      <c r="D6" s="1">
        <v>1.7100000000000001E-2</v>
      </c>
    </row>
    <row r="8" spans="1:4">
      <c r="A8" t="s">
        <v>23</v>
      </c>
    </row>
    <row r="9" spans="1:4">
      <c r="A9" t="s">
        <v>16</v>
      </c>
      <c r="B9" t="s">
        <v>17</v>
      </c>
      <c r="C9" t="s">
        <v>18</v>
      </c>
      <c r="D9" t="s">
        <v>3</v>
      </c>
    </row>
    <row r="10" spans="1:4">
      <c r="A10" t="s">
        <v>24</v>
      </c>
      <c r="B10" s="1">
        <v>4.4999999999999998E-2</v>
      </c>
      <c r="C10" s="1">
        <v>6.5699999999999995E-2</v>
      </c>
      <c r="D10" s="1">
        <v>2.07E-2</v>
      </c>
    </row>
    <row r="11" spans="1:4">
      <c r="A11" t="s">
        <v>25</v>
      </c>
      <c r="B11" s="1">
        <v>2.58E-2</v>
      </c>
      <c r="C11" s="1">
        <v>7.4099999999999999E-2</v>
      </c>
      <c r="D11" s="1">
        <v>4.8300000000000003E-2</v>
      </c>
    </row>
    <row r="12" spans="1:4">
      <c r="A12" t="s">
        <v>26</v>
      </c>
      <c r="B12" s="1">
        <v>1.8200000000000001E-2</v>
      </c>
      <c r="C12" s="1">
        <v>7.1400000000000005E-2</v>
      </c>
      <c r="D12" s="1">
        <v>5.3199999999999997E-2</v>
      </c>
    </row>
    <row r="14" spans="1:4">
      <c r="A14" t="s">
        <v>27</v>
      </c>
    </row>
    <row r="15" spans="1:4">
      <c r="A15" t="s">
        <v>16</v>
      </c>
      <c r="B15" t="s">
        <v>17</v>
      </c>
      <c r="C15" t="s">
        <v>18</v>
      </c>
      <c r="D15" t="s">
        <v>3</v>
      </c>
    </row>
    <row r="16" spans="1:4">
      <c r="A16" t="s">
        <v>28</v>
      </c>
      <c r="B16" s="1">
        <v>2.7400000000000001E-2</v>
      </c>
      <c r="C16" s="1">
        <v>7.1400000000000005E-2</v>
      </c>
      <c r="D16" s="1">
        <v>4.3999999999999997E-2</v>
      </c>
    </row>
    <row r="17" spans="1:4">
      <c r="A17" t="s">
        <v>29</v>
      </c>
      <c r="B17" s="1">
        <v>2.0299999999999999E-2</v>
      </c>
      <c r="C17" s="1">
        <v>6.3299999999999995E-2</v>
      </c>
      <c r="D17" s="1">
        <v>4.2999999999999997E-2</v>
      </c>
    </row>
    <row r="18" spans="1:4">
      <c r="A18" t="s">
        <v>30</v>
      </c>
      <c r="B18" s="1">
        <v>1.29E-2</v>
      </c>
      <c r="C18" s="1">
        <v>6.25E-2</v>
      </c>
      <c r="D18" s="1">
        <v>4.9599999999999998E-2</v>
      </c>
    </row>
    <row r="19" spans="1:4">
      <c r="A19" t="s">
        <v>31</v>
      </c>
      <c r="B19" s="1">
        <v>2.47E-2</v>
      </c>
      <c r="C19" s="1">
        <v>0.1099</v>
      </c>
      <c r="D19" s="1">
        <v>8.5199999999999998E-2</v>
      </c>
    </row>
    <row r="20" spans="1:4">
      <c r="A20" t="s">
        <v>32</v>
      </c>
      <c r="B20" s="1">
        <v>7.7499999999999999E-2</v>
      </c>
      <c r="C20" s="1">
        <v>6.0600000000000001E-2</v>
      </c>
      <c r="D20">
        <v>-0.02</v>
      </c>
    </row>
    <row r="22" spans="1:4">
      <c r="A22" t="s">
        <v>33</v>
      </c>
    </row>
    <row r="23" spans="1:4">
      <c r="A23" t="s">
        <v>16</v>
      </c>
      <c r="B23" t="s">
        <v>17</v>
      </c>
      <c r="C23" t="s">
        <v>18</v>
      </c>
      <c r="D23" t="s">
        <v>3</v>
      </c>
    </row>
    <row r="24" spans="1:4">
      <c r="A24" t="s">
        <v>34</v>
      </c>
      <c r="B24" s="1">
        <v>3.6200000000000003E-2</v>
      </c>
      <c r="C24" s="1">
        <v>3.8800000000000001E-2</v>
      </c>
      <c r="D24" s="1">
        <v>2.5999999999999999E-3</v>
      </c>
    </row>
    <row r="25" spans="1:4">
      <c r="A25" t="s">
        <v>35</v>
      </c>
      <c r="B25" s="1">
        <v>3.0599999999999999E-2</v>
      </c>
      <c r="C25" s="1">
        <v>9.2899999999999996E-2</v>
      </c>
      <c r="D25" s="1">
        <v>6.2300000000000001E-2</v>
      </c>
    </row>
    <row r="26" spans="1:4">
      <c r="A26" t="s">
        <v>36</v>
      </c>
      <c r="B26" s="1">
        <v>2.75E-2</v>
      </c>
      <c r="C26" s="1">
        <v>6.25E-2</v>
      </c>
      <c r="D26" s="1">
        <v>3.5000000000000003E-2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DD12-980F-47AF-B913-AA2BA50BE54A}">
  <dimension ref="A1:B13"/>
  <sheetViews>
    <sheetView tabSelected="1" workbookViewId="0">
      <selection activeCell="B13" sqref="B13"/>
    </sheetView>
  </sheetViews>
  <sheetFormatPr defaultRowHeight="14.4"/>
  <cols>
    <col min="1" max="1" width="24.5546875" bestFit="1" customWidth="1"/>
    <col min="2" max="2" width="21" customWidth="1"/>
  </cols>
  <sheetData>
    <row r="1" spans="1:2">
      <c r="A1" t="s">
        <v>37</v>
      </c>
    </row>
    <row r="2" spans="1:2">
      <c r="A2" t="s">
        <v>38</v>
      </c>
      <c r="B2">
        <v>690</v>
      </c>
    </row>
    <row r="3" spans="1:2">
      <c r="A3" t="s">
        <v>39</v>
      </c>
      <c r="B3">
        <v>710</v>
      </c>
    </row>
    <row r="4" spans="1:2">
      <c r="A4" t="s">
        <v>40</v>
      </c>
      <c r="B4">
        <v>22</v>
      </c>
    </row>
    <row r="5" spans="1:2">
      <c r="A5" t="s">
        <v>41</v>
      </c>
      <c r="B5">
        <v>50</v>
      </c>
    </row>
    <row r="6" spans="1:2">
      <c r="A6" t="s">
        <v>17</v>
      </c>
      <c r="B6" s="2">
        <f>B4/B2</f>
        <v>3.1884057971014491E-2</v>
      </c>
    </row>
    <row r="7" spans="1:2">
      <c r="A7" t="s">
        <v>18</v>
      </c>
      <c r="B7">
        <f>B5/B3</f>
        <v>7.0422535211267609E-2</v>
      </c>
    </row>
    <row r="8" spans="1:2">
      <c r="A8" t="s">
        <v>42</v>
      </c>
      <c r="B8">
        <f>(B4+B5)/(B2+B3)</f>
        <v>5.1428571428571428E-2</v>
      </c>
    </row>
    <row r="9" spans="1:2">
      <c r="A9" t="s">
        <v>43</v>
      </c>
      <c r="B9">
        <f>SQRT(B8*(1-B8)*(1/B2+1/B3))</f>
        <v>1.1807217085124241E-2</v>
      </c>
    </row>
    <row r="10" spans="1:2">
      <c r="A10" t="s">
        <v>44</v>
      </c>
      <c r="B10">
        <f>(B7-B6)/B9</f>
        <v>3.263976342808776</v>
      </c>
    </row>
    <row r="11" spans="1:2">
      <c r="A11" t="s">
        <v>45</v>
      </c>
      <c r="B11" s="2">
        <f>1-_xlfn.NORM.S.DIST(B10,TRUE)</f>
        <v>5.4930169094646875E-4</v>
      </c>
    </row>
    <row r="12" spans="1:2">
      <c r="A12" t="s">
        <v>46</v>
      </c>
      <c r="B12">
        <v>0.05</v>
      </c>
    </row>
    <row r="13" spans="1:2">
      <c r="A13" t="s">
        <v>47</v>
      </c>
      <c r="B13" s="2" t="str">
        <f>IF(B11&lt;B12,"Significant - Reject H0","Not Significant")</f>
        <v>Significant - Reject H0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vs Treatment</vt:lpstr>
      <vt:lpstr>Paid Conversion Rate</vt:lpstr>
      <vt:lpstr>Hypothesis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Manasa</dc:creator>
  <cp:lastModifiedBy>Radha Manasa</cp:lastModifiedBy>
  <dcterms:created xsi:type="dcterms:W3CDTF">2026-06-28T12:14:13Z</dcterms:created>
  <dcterms:modified xsi:type="dcterms:W3CDTF">2026-06-28T13:22:44Z</dcterms:modified>
</cp:coreProperties>
</file>